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CAIC\2025\LRF\RGF\1º quadrimestre\Conferidos\"/>
    </mc:Choice>
  </mc:AlternateContent>
  <xr:revisionPtr revIDLastSave="0" documentId="13_ncr:1_{B3D7A648-E983-4A2B-BBB8-606C396D6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blicação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7" l="1"/>
  <c r="G45" i="7"/>
  <c r="F45" i="7"/>
  <c r="E45" i="7"/>
  <c r="D45" i="7"/>
  <c r="H45" i="7" s="1"/>
  <c r="H39" i="7" s="1"/>
  <c r="H47" i="7" s="1"/>
  <c r="I47" i="7"/>
  <c r="I39" i="7"/>
  <c r="J30" i="7"/>
  <c r="I30" i="7"/>
  <c r="H30" i="7"/>
  <c r="H38" i="7"/>
  <c r="H34" i="7"/>
  <c r="H33" i="7"/>
  <c r="S13" i="7" s="1"/>
  <c r="H46" i="7"/>
  <c r="S26" i="7" s="1"/>
  <c r="H44" i="7"/>
  <c r="H43" i="7"/>
  <c r="H42" i="7"/>
  <c r="H41" i="7"/>
  <c r="H40" i="7"/>
  <c r="H32" i="7"/>
  <c r="H35" i="7"/>
  <c r="H36" i="7"/>
  <c r="H37" i="7"/>
  <c r="S17" i="7" s="1"/>
  <c r="H31" i="7"/>
  <c r="H56" i="7"/>
  <c r="H58" i="7" s="1"/>
  <c r="S23" i="7"/>
  <c r="S22" i="7"/>
  <c r="J41" i="7"/>
  <c r="G39" i="7"/>
  <c r="F39" i="7"/>
  <c r="E39" i="7"/>
  <c r="S16" i="7"/>
  <c r="G34" i="7"/>
  <c r="F34" i="7"/>
  <c r="E34" i="7"/>
  <c r="D34" i="7"/>
  <c r="D30" i="7" s="1"/>
  <c r="G31" i="7"/>
  <c r="F31" i="7"/>
  <c r="E31" i="7"/>
  <c r="J11" i="7"/>
  <c r="J10" i="7" s="1"/>
  <c r="J27" i="7" s="1"/>
  <c r="I11" i="7"/>
  <c r="I10" i="7" s="1"/>
  <c r="I27" i="7" s="1"/>
  <c r="H11" i="7"/>
  <c r="H10" i="7" s="1"/>
  <c r="H27" i="7" s="1"/>
  <c r="G11" i="7"/>
  <c r="G10" i="7" s="1"/>
  <c r="G27" i="7" s="1"/>
  <c r="F11" i="7"/>
  <c r="F10" i="7" s="1"/>
  <c r="F27" i="7" s="1"/>
  <c r="E11" i="7"/>
  <c r="E10" i="7" s="1"/>
  <c r="E27" i="7" s="1"/>
  <c r="D11" i="7"/>
  <c r="D10" i="7" s="1"/>
  <c r="D27" i="7" s="1"/>
  <c r="C11" i="7"/>
  <c r="C10" i="7" s="1"/>
  <c r="C27" i="7" s="1"/>
  <c r="D39" i="7" l="1"/>
  <c r="D47" i="7" s="1"/>
  <c r="H60" i="7"/>
  <c r="H59" i="7"/>
  <c r="F30" i="7"/>
  <c r="F47" i="7" s="1"/>
  <c r="J44" i="7"/>
  <c r="T24" i="7" s="1"/>
  <c r="G30" i="7"/>
  <c r="G47" i="7" s="1"/>
  <c r="J35" i="7"/>
  <c r="T15" i="7" s="1"/>
  <c r="J34" i="7"/>
  <c r="T14" i="7" s="1"/>
  <c r="J36" i="7"/>
  <c r="T16" i="7" s="1"/>
  <c r="J42" i="7"/>
  <c r="T22" i="7" s="1"/>
  <c r="J32" i="7"/>
  <c r="T12" i="7" s="1"/>
  <c r="S12" i="7"/>
  <c r="S24" i="7"/>
  <c r="S20" i="7"/>
  <c r="E30" i="7"/>
  <c r="E47" i="7" s="1"/>
  <c r="S11" i="7"/>
  <c r="S15" i="7"/>
  <c r="S21" i="7"/>
  <c r="J37" i="7"/>
  <c r="T17" i="7" s="1"/>
  <c r="J43" i="7"/>
  <c r="T23" i="7" s="1"/>
  <c r="J45" i="7"/>
  <c r="J33" i="7"/>
  <c r="T13" i="7" s="1"/>
  <c r="T21" i="7"/>
  <c r="J38" i="7"/>
  <c r="T18" i="7" s="1"/>
  <c r="J40" i="7"/>
  <c r="T20" i="7" s="1"/>
  <c r="S18" i="7"/>
  <c r="S25" i="7"/>
  <c r="J46" i="7"/>
  <c r="T26" i="7" s="1"/>
  <c r="T25" i="7" l="1"/>
  <c r="J39" i="7"/>
  <c r="S14" i="7"/>
  <c r="S19" i="7"/>
  <c r="J31" i="7"/>
  <c r="T11" i="7" s="1"/>
  <c r="J47" i="7" l="1"/>
  <c r="H57" i="7" s="1"/>
  <c r="T19" i="7"/>
  <c r="T10" i="7"/>
  <c r="S27" i="7"/>
  <c r="S10" i="7"/>
  <c r="T27" i="7" l="1"/>
</calcChain>
</file>

<file path=xl/sharedStrings.xml><?xml version="1.0" encoding="utf-8"?>
<sst xmlns="http://schemas.openxmlformats.org/spreadsheetml/2006/main" count="76" uniqueCount="58">
  <si>
    <t>DESPESA BRUTA COM PESSOAL (I)</t>
  </si>
  <si>
    <t xml:space="preserve">   Pessoal Ativo</t>
  </si>
  <si>
    <t xml:space="preserve">      Vencimentos, Vantagens e Outras Despesas Variáveis</t>
  </si>
  <si>
    <t xml:space="preserve">     Pensões</t>
  </si>
  <si>
    <t xml:space="preserve">   Despesa com Pessoal não Executada Orçamentariamente</t>
  </si>
  <si>
    <t>DESPESAS NÃO COMPUTADAS (II) (§ 1º do art. 19 da LRF)</t>
  </si>
  <si>
    <t xml:space="preserve">  Indenizações por Demissão e Incentivos à Demissão Voluntária</t>
  </si>
  <si>
    <t xml:space="preserve">  Decorrentes de Decisão Judicial de Período Anterior ao da Apuração</t>
  </si>
  <si>
    <t xml:space="preserve">  Inativos e Pensionistas com Recursos Vinculados</t>
  </si>
  <si>
    <t>DESPESA LÍQUIDA COM PESSOAL (III) = (I - II)</t>
  </si>
  <si>
    <t>ESTADO DE MINAS GERAIS – PODER EXECUTIVO</t>
  </si>
  <si>
    <t>RELATÓRIO DE GESTÃO FISCAL</t>
  </si>
  <si>
    <t>DEMONSTRATIVO DA DESPESA COM PESSOAL</t>
  </si>
  <si>
    <t>ORÇAMENTO FISCAL</t>
  </si>
  <si>
    <t>RGF - ANEXO 1 (LRF. art. 55, inciso I. alínea "a") - Portaria 699/23 STN</t>
  </si>
  <si>
    <t>Em Reais</t>
  </si>
  <si>
    <t>DESPESA COM PESSOAL</t>
  </si>
  <si>
    <t>Mai/24</t>
  </si>
  <si>
    <t xml:space="preserve">Jun/24 </t>
  </si>
  <si>
    <t xml:space="preserve">Jul/24 </t>
  </si>
  <si>
    <t>Ago/24</t>
  </si>
  <si>
    <t>Set/24</t>
  </si>
  <si>
    <t>Out/24</t>
  </si>
  <si>
    <t>Nov/24</t>
  </si>
  <si>
    <t>Dez/24</t>
  </si>
  <si>
    <t>Últimos
12 Meses
(a)</t>
  </si>
  <si>
    <t>Inscritas em Restos a Pagar Não Processados
(b)</t>
  </si>
  <si>
    <t>Despesa
Executada
(a + b)</t>
  </si>
  <si>
    <t xml:space="preserve">     Obrigações Patronais</t>
  </si>
  <si>
    <t xml:space="preserve">   Pessoal Inativo e Pensionistas</t>
  </si>
  <si>
    <t xml:space="preserve">     Aposentadorias, Reserva e Reformas</t>
  </si>
  <si>
    <t xml:space="preserve">   Outras Despesas de Pessoal Decorrentes de Contratos de Terceirização ou de Contratação de Forma Indireta (§ 1º do art. 18 da LRF)</t>
  </si>
  <si>
    <t xml:space="preserve">  Despesas de Exercícios Anteriores de Período Anterior ao da Apuração</t>
  </si>
  <si>
    <t xml:space="preserve">  Agentes Comunitários de Saúde e de Combate às Endemias com Recursos Vinculados (CF, art.198, § 11)</t>
  </si>
  <si>
    <t xml:space="preserve">  Outras Deduções Constitucionais ou Legais</t>
  </si>
  <si>
    <t>APURAÇÃO DO CUMPRIMENTO DO LIMITE LEGAL</t>
  </si>
  <si>
    <t>Valor</t>
  </si>
  <si>
    <t>% SOBRE</t>
  </si>
  <si>
    <t>A RCL</t>
  </si>
  <si>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</si>
  <si>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</si>
  <si>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</si>
  <si>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</si>
  <si>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</si>
  <si>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</si>
  <si>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</si>
  <si>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</si>
  <si>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</si>
  <si>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</si>
  <si>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Jan/25</t>
  </si>
  <si>
    <t>Fev/25</t>
  </si>
  <si>
    <t>Mar/25</t>
  </si>
  <si>
    <t>Abr/25</t>
  </si>
  <si>
    <t>MAIO/2024 A ABRIL/2025</t>
  </si>
  <si>
    <t xml:space="preserve">      Obrigações Patronais</t>
  </si>
  <si>
    <t>Fonte: Siafi/MG, SEF/STE/SCCG/DCICF. Emissão 14/maio/2025, às 11:15:26</t>
  </si>
  <si>
    <t>Parcela dedutível referente ao piso salarial do Enfermeiro, Técnico de Enfermagem, Auxiliar de Enfermagem e Parteira (ADCT, art. 38, §2º) ¹</t>
  </si>
  <si>
    <t>Nota: (1) O valor registrado na linha corresponde, para o exercício de 2025, a 80% da execução da despesa para o cumprimento dos parágrafos 12,13,14 e 15 do artigo 198 da Constituição Federal, conforme prerrogativa do parágrafo 2º do artigo 38-ADCT-CF/1988.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</si>
</sst>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.00_);_(* \(#,##0.00\);_(* &quot;-&quot;??_);_(@_)"/>
  </numFmts>
  <fonts count="12" x14ac:knownFonts="1">
    <font>
      <sz val="10"/>
      <color rgb="FF000000"/>
      <name val="Arial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DDDDD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DDDDDD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43" fontId="2" fillId="2" borderId="0" xfId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3" fontId="5" fillId="3" borderId="5" xfId="1" applyFont="1" applyFill="1" applyBorder="1" applyAlignment="1">
      <alignment horizontal="center" vertical="center" wrapText="1"/>
    </xf>
    <xf numFmtId="43" fontId="5" fillId="3" borderId="6" xfId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165" fontId="5" fillId="3" borderId="7" xfId="1" applyNumberFormat="1" applyFont="1" applyFill="1" applyBorder="1" applyAlignment="1">
      <alignment horizontal="right" vertical="center" wrapText="1"/>
    </xf>
    <xf numFmtId="165" fontId="5" fillId="3" borderId="8" xfId="1" applyNumberFormat="1" applyFont="1" applyFill="1" applyBorder="1" applyAlignment="1">
      <alignment horizontal="right" vertical="center" wrapText="1"/>
    </xf>
    <xf numFmtId="165" fontId="5" fillId="3" borderId="5" xfId="1" applyNumberFormat="1" applyFont="1" applyFill="1" applyBorder="1" applyAlignment="1">
      <alignment horizontal="right" vertical="center" wrapText="1"/>
    </xf>
    <xf numFmtId="49" fontId="6" fillId="3" borderId="10" xfId="0" applyNumberFormat="1" applyFont="1" applyFill="1" applyBorder="1" applyAlignment="1">
      <alignment horizontal="left" vertical="center" wrapText="1"/>
    </xf>
    <xf numFmtId="165" fontId="6" fillId="3" borderId="11" xfId="1" applyNumberFormat="1" applyFont="1" applyFill="1" applyBorder="1" applyAlignment="1">
      <alignment horizontal="right" vertical="center" wrapText="1"/>
    </xf>
    <xf numFmtId="165" fontId="6" fillId="3" borderId="0" xfId="1" applyNumberFormat="1" applyFont="1" applyFill="1" applyBorder="1" applyAlignment="1">
      <alignment horizontal="right" vertical="center" wrapText="1"/>
    </xf>
    <xf numFmtId="49" fontId="6" fillId="3" borderId="0" xfId="0" applyNumberFormat="1" applyFont="1" applyFill="1" applyAlignment="1">
      <alignment horizontal="left" vertical="center" wrapText="1"/>
    </xf>
    <xf numFmtId="165" fontId="5" fillId="3" borderId="3" xfId="1" applyNumberFormat="1" applyFont="1" applyFill="1" applyBorder="1" applyAlignment="1">
      <alignment horizontal="right" vertical="center" wrapText="1"/>
    </xf>
    <xf numFmtId="165" fontId="5" fillId="3" borderId="13" xfId="1" applyNumberFormat="1" applyFont="1" applyFill="1" applyBorder="1" applyAlignment="1">
      <alignment horizontal="right" vertical="center" wrapText="1"/>
    </xf>
    <xf numFmtId="165" fontId="6" fillId="3" borderId="14" xfId="1" applyNumberFormat="1" applyFont="1" applyFill="1" applyBorder="1" applyAlignment="1">
      <alignment horizontal="right" vertical="center" wrapText="1"/>
    </xf>
    <xf numFmtId="165" fontId="6" fillId="3" borderId="10" xfId="1" applyNumberFormat="1" applyFont="1" applyFill="1" applyBorder="1" applyAlignment="1">
      <alignment horizontal="right" vertical="center" wrapText="1"/>
    </xf>
    <xf numFmtId="165" fontId="6" fillId="3" borderId="11" xfId="1" applyNumberFormat="1" applyFont="1" applyFill="1" applyBorder="1" applyAlignment="1">
      <alignment horizontal="left" vertical="center" wrapText="1"/>
    </xf>
    <xf numFmtId="165" fontId="6" fillId="3" borderId="0" xfId="1" applyNumberFormat="1" applyFont="1" applyFill="1" applyBorder="1" applyAlignment="1">
      <alignment horizontal="left" vertical="center" wrapText="1"/>
    </xf>
    <xf numFmtId="165" fontId="6" fillId="3" borderId="15" xfId="1" applyNumberFormat="1" applyFont="1" applyFill="1" applyBorder="1" applyAlignment="1">
      <alignment horizontal="left" vertical="center" wrapText="1"/>
    </xf>
    <xf numFmtId="165" fontId="6" fillId="3" borderId="1" xfId="1" applyNumberFormat="1" applyFont="1" applyFill="1" applyBorder="1" applyAlignment="1">
      <alignment horizontal="left" vertical="center" wrapText="1"/>
    </xf>
    <xf numFmtId="165" fontId="5" fillId="3" borderId="16" xfId="1" applyNumberFormat="1" applyFont="1" applyFill="1" applyBorder="1" applyAlignment="1">
      <alignment horizontal="left" vertical="center" wrapText="1"/>
    </xf>
    <xf numFmtId="165" fontId="5" fillId="3" borderId="12" xfId="1" applyNumberFormat="1" applyFont="1" applyFill="1" applyBorder="1" applyAlignment="1">
      <alignment horizontal="left" vertical="center" wrapText="1"/>
    </xf>
    <xf numFmtId="165" fontId="5" fillId="3" borderId="5" xfId="1" applyNumberFormat="1" applyFont="1" applyFill="1" applyBorder="1" applyAlignment="1">
      <alignment horizontal="left" vertical="center" wrapText="1"/>
    </xf>
    <xf numFmtId="43" fontId="2" fillId="2" borderId="0" xfId="0" applyNumberFormat="1" applyFont="1" applyFill="1" applyAlignment="1">
      <alignment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165" fontId="8" fillId="2" borderId="6" xfId="1" applyNumberFormat="1" applyFont="1" applyFill="1" applyBorder="1" applyAlignment="1">
      <alignment horizontal="right" vertical="center" wrapText="1"/>
    </xf>
    <xf numFmtId="165" fontId="8" fillId="2" borderId="2" xfId="1" applyNumberFormat="1" applyFont="1" applyFill="1" applyBorder="1" applyAlignment="1">
      <alignment horizontal="right" vertical="center" wrapText="1"/>
    </xf>
    <xf numFmtId="165" fontId="9" fillId="2" borderId="6" xfId="1" applyNumberFormat="1" applyFont="1" applyFill="1" applyBorder="1" applyAlignment="1">
      <alignment horizontal="right" vertical="center" wrapText="1"/>
    </xf>
    <xf numFmtId="165" fontId="10" fillId="2" borderId="6" xfId="1" applyNumberFormat="1" applyFont="1" applyFill="1" applyBorder="1" applyAlignment="1">
      <alignment horizontal="right" vertical="center" wrapText="1"/>
    </xf>
    <xf numFmtId="165" fontId="2" fillId="2" borderId="0" xfId="1" applyNumberFormat="1" applyFont="1" applyFill="1" applyAlignment="1">
      <alignment horizontal="right" vertical="center" wrapText="1"/>
    </xf>
    <xf numFmtId="165" fontId="5" fillId="3" borderId="6" xfId="1" applyNumberFormat="1" applyFont="1" applyFill="1" applyBorder="1" applyAlignment="1">
      <alignment horizontal="right" vertical="center" wrapText="1"/>
    </xf>
    <xf numFmtId="165" fontId="6" fillId="3" borderId="23" xfId="1" applyNumberFormat="1" applyFont="1" applyFill="1" applyBorder="1" applyAlignment="1">
      <alignment horizontal="right" vertical="center" wrapText="1"/>
    </xf>
    <xf numFmtId="165" fontId="5" fillId="3" borderId="4" xfId="1" applyNumberFormat="1" applyFont="1" applyFill="1" applyBorder="1" applyAlignment="1">
      <alignment horizontal="right" vertical="center" wrapText="1"/>
    </xf>
    <xf numFmtId="165" fontId="6" fillId="3" borderId="24" xfId="1" applyNumberFormat="1" applyFont="1" applyFill="1" applyBorder="1" applyAlignment="1">
      <alignment horizontal="right" vertical="center" wrapText="1"/>
    </xf>
    <xf numFmtId="165" fontId="6" fillId="3" borderId="23" xfId="1" applyNumberFormat="1" applyFont="1" applyFill="1" applyBorder="1" applyAlignment="1">
      <alignment horizontal="left" vertical="center" wrapText="1"/>
    </xf>
    <xf numFmtId="165" fontId="6" fillId="3" borderId="25" xfId="1" applyNumberFormat="1" applyFont="1" applyFill="1" applyBorder="1" applyAlignment="1">
      <alignment horizontal="left" vertical="center" wrapText="1"/>
    </xf>
    <xf numFmtId="165" fontId="5" fillId="3" borderId="6" xfId="1" applyNumberFormat="1" applyFont="1" applyFill="1" applyBorder="1" applyAlignment="1">
      <alignment horizontal="left" vertical="center" wrapText="1"/>
    </xf>
    <xf numFmtId="165" fontId="11" fillId="3" borderId="6" xfId="1" applyNumberFormat="1" applyFont="1" applyFill="1" applyBorder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165" fontId="5" fillId="3" borderId="0" xfId="1" applyNumberFormat="1" applyFont="1" applyFill="1" applyBorder="1" applyAlignment="1">
      <alignment horizontal="left" vertical="center" wrapText="1"/>
    </xf>
    <xf numFmtId="165" fontId="11" fillId="3" borderId="0" xfId="1" applyNumberFormat="1" applyFont="1" applyFill="1" applyBorder="1" applyAlignment="1">
      <alignment horizontal="left" vertical="center" wrapText="1"/>
    </xf>
    <xf numFmtId="49" fontId="5" fillId="3" borderId="9" xfId="0" applyNumberFormat="1" applyFont="1" applyFill="1" applyBorder="1" applyAlignment="1">
      <alignment horizontal="left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49" fontId="5" fillId="3" borderId="26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165" fontId="6" fillId="3" borderId="0" xfId="0" applyNumberFormat="1" applyFont="1" applyFill="1" applyAlignment="1">
      <alignment horizontal="left" vertical="center" wrapText="1"/>
    </xf>
    <xf numFmtId="0" fontId="2" fillId="2" borderId="20" xfId="0" applyFont="1" applyFill="1" applyBorder="1" applyAlignment="1">
      <alignment horizontal="left" wrapText="1"/>
    </xf>
    <xf numFmtId="165" fontId="8" fillId="2" borderId="6" xfId="1" applyNumberFormat="1" applyFont="1" applyFill="1" applyBorder="1" applyAlignment="1">
      <alignment horizontal="right" vertical="center" wrapText="1"/>
    </xf>
    <xf numFmtId="165" fontId="8" fillId="2" borderId="2" xfId="1" applyNumberFormat="1" applyFont="1" applyFill="1" applyBorder="1" applyAlignment="1">
      <alignment horizontal="right" vertical="center" wrapText="1"/>
    </xf>
    <xf numFmtId="165" fontId="10" fillId="2" borderId="6" xfId="1" applyNumberFormat="1" applyFont="1" applyFill="1" applyBorder="1" applyAlignment="1">
      <alignment horizontal="right" vertical="center" wrapText="1"/>
    </xf>
    <xf numFmtId="165" fontId="10" fillId="2" borderId="2" xfId="1" applyNumberFormat="1" applyFont="1" applyFill="1" applyBorder="1" applyAlignment="1">
      <alignment horizontal="right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left" vertical="center" wrapText="1"/>
    </xf>
    <xf numFmtId="49" fontId="5" fillId="3" borderId="2" xfId="0" applyNumberFormat="1" applyFont="1" applyFill="1" applyBorder="1" applyAlignment="1">
      <alignment horizontal="left" vertical="center" wrapText="1"/>
    </xf>
    <xf numFmtId="49" fontId="6" fillId="3" borderId="17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6" fillId="3" borderId="0" xfId="0" applyNumberFormat="1" applyFont="1" applyFill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49" fontId="6" fillId="3" borderId="27" xfId="0" applyNumberFormat="1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8" fillId="2" borderId="17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2" xr:uid="{7AD93C85-72C6-4EF5-BDE8-9C3A90007280}"/>
    <cellStyle name="Vírgula" xfId="1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8962-DD48-491B-9C8D-218E29E67A51}">
  <dimension ref="B2:U65"/>
  <sheetViews>
    <sheetView tabSelected="1" zoomScale="80" zoomScaleNormal="80" workbookViewId="0">
      <selection activeCell="L16" sqref="L16"/>
    </sheetView>
  </sheetViews>
  <sheetFormatPr defaultColWidth="9" defaultRowHeight="15" x14ac:dyDescent="0.2"/>
  <cols>
    <col min="1" max="1" width="0.5703125" style="2" customWidth="1"/>
    <col min="2" max="2" width="70.28515625" style="2" customWidth="1"/>
    <col min="3" max="6" width="18.42578125" style="2" bestFit="1" customWidth="1"/>
    <col min="7" max="7" width="18.42578125" style="3" bestFit="1" customWidth="1"/>
    <col min="8" max="8" width="19.5703125" style="3" customWidth="1"/>
    <col min="9" max="9" width="18.42578125" style="2" bestFit="1" customWidth="1"/>
    <col min="10" max="10" width="20.5703125" style="2" customWidth="1"/>
    <col min="11" max="11" width="18.42578125" style="38" bestFit="1" customWidth="1"/>
    <col min="12" max="12" width="19.5703125" style="38" bestFit="1" customWidth="1"/>
    <col min="13" max="14" width="18.42578125" style="38" bestFit="1" customWidth="1"/>
    <col min="15" max="15" width="19.5703125" style="1" bestFit="1" customWidth="1"/>
    <col min="16" max="16" width="23.140625" style="2" customWidth="1"/>
    <col min="17" max="17" width="21" style="2" bestFit="1" customWidth="1"/>
    <col min="18" max="18" width="16.85546875" style="2" customWidth="1"/>
    <col min="19" max="19" width="18.7109375" style="2" bestFit="1" customWidth="1"/>
    <col min="20" max="20" width="8.28515625" style="2" customWidth="1"/>
    <col min="21" max="16384" width="9" style="2"/>
  </cols>
  <sheetData>
    <row r="2" spans="2:21" x14ac:dyDescent="0.2">
      <c r="B2" s="75" t="s">
        <v>10</v>
      </c>
      <c r="C2" s="75"/>
      <c r="D2" s="75"/>
      <c r="E2" s="75"/>
      <c r="F2" s="75"/>
      <c r="G2" s="75"/>
      <c r="H2" s="75"/>
      <c r="I2" s="75"/>
      <c r="J2" s="75"/>
    </row>
    <row r="3" spans="2:21" x14ac:dyDescent="0.2">
      <c r="B3" s="75" t="s">
        <v>11</v>
      </c>
      <c r="C3" s="75"/>
      <c r="D3" s="75"/>
      <c r="E3" s="75"/>
      <c r="F3" s="75"/>
      <c r="G3" s="75"/>
      <c r="H3" s="75"/>
      <c r="I3" s="75"/>
      <c r="J3" s="75"/>
    </row>
    <row r="4" spans="2:21" x14ac:dyDescent="0.2">
      <c r="B4" s="76" t="s">
        <v>12</v>
      </c>
      <c r="C4" s="76"/>
      <c r="D4" s="76"/>
      <c r="E4" s="76"/>
      <c r="F4" s="76"/>
      <c r="G4" s="76"/>
      <c r="H4" s="76"/>
      <c r="I4" s="76"/>
      <c r="J4" s="76"/>
    </row>
    <row r="5" spans="2:21" x14ac:dyDescent="0.2">
      <c r="B5" s="75" t="s">
        <v>13</v>
      </c>
      <c r="C5" s="75"/>
      <c r="D5" s="75"/>
      <c r="E5" s="75"/>
      <c r="F5" s="75"/>
      <c r="G5" s="75"/>
      <c r="H5" s="75"/>
      <c r="I5" s="75"/>
      <c r="J5" s="75"/>
    </row>
    <row r="6" spans="2:21" x14ac:dyDescent="0.2">
      <c r="B6" s="75" t="s">
        <v>53</v>
      </c>
      <c r="C6" s="75"/>
      <c r="D6" s="75"/>
      <c r="E6" s="75"/>
      <c r="F6" s="75"/>
      <c r="G6" s="75"/>
      <c r="H6" s="75"/>
      <c r="I6" s="75"/>
      <c r="J6" s="75"/>
    </row>
    <row r="8" spans="2:21" x14ac:dyDescent="0.25">
      <c r="B8" s="56" t="s">
        <v>14</v>
      </c>
      <c r="C8" s="56"/>
      <c r="G8" s="4"/>
      <c r="H8" s="4"/>
      <c r="J8" s="54" t="s">
        <v>15</v>
      </c>
      <c r="K8" s="2"/>
      <c r="L8" s="2"/>
      <c r="M8" s="2"/>
      <c r="N8" s="2"/>
      <c r="O8" s="2"/>
    </row>
    <row r="9" spans="2:21" s="11" customFormat="1" ht="51" customHeight="1" x14ac:dyDescent="0.2">
      <c r="B9" s="52" t="s">
        <v>16</v>
      </c>
      <c r="C9" s="6" t="s">
        <v>17</v>
      </c>
      <c r="D9" s="6" t="s">
        <v>18</v>
      </c>
      <c r="E9" s="6" t="s">
        <v>19</v>
      </c>
      <c r="F9" s="7" t="s">
        <v>20</v>
      </c>
      <c r="G9" s="8" t="s">
        <v>21</v>
      </c>
      <c r="H9" s="8" t="s">
        <v>22</v>
      </c>
      <c r="I9" s="51" t="s">
        <v>23</v>
      </c>
      <c r="J9" s="51" t="s">
        <v>24</v>
      </c>
      <c r="R9" s="2"/>
      <c r="S9" s="2"/>
      <c r="T9" s="2"/>
      <c r="U9" s="2"/>
    </row>
    <row r="10" spans="2:21" s="11" customFormat="1" x14ac:dyDescent="0.2">
      <c r="B10" s="12" t="s">
        <v>0</v>
      </c>
      <c r="C10" s="13">
        <f t="shared" ref="C10:I10" si="0">C11+C14+C18</f>
        <v>4421781180.9799995</v>
      </c>
      <c r="D10" s="13">
        <f t="shared" si="0"/>
        <v>4777286303.5700006</v>
      </c>
      <c r="E10" s="13">
        <f t="shared" si="0"/>
        <v>4864847110.5699997</v>
      </c>
      <c r="F10" s="14">
        <f t="shared" si="0"/>
        <v>4824945641.8100004</v>
      </c>
      <c r="G10" s="15">
        <f t="shared" si="0"/>
        <v>5172624259.0799999</v>
      </c>
      <c r="H10" s="15">
        <f t="shared" si="0"/>
        <v>4500844267.8599997</v>
      </c>
      <c r="I10" s="39">
        <f t="shared" si="0"/>
        <v>6220002918.9199991</v>
      </c>
      <c r="J10" s="39">
        <f>J11+J14+J18</f>
        <v>8453023582.3499994</v>
      </c>
      <c r="R10" s="2"/>
      <c r="S10" s="31">
        <f t="shared" ref="S10:S27" si="1">SUM(C10:I10)+D30+E30+F30+G30-H30</f>
        <v>-8453023582.3499908</v>
      </c>
      <c r="T10" s="31">
        <f t="shared" ref="T10:T27" si="2">H30+I30-J30</f>
        <v>0</v>
      </c>
      <c r="U10" s="2"/>
    </row>
    <row r="11" spans="2:21" s="11" customFormat="1" x14ac:dyDescent="0.2">
      <c r="B11" s="16" t="s">
        <v>1</v>
      </c>
      <c r="C11" s="17">
        <f t="shared" ref="C11:I11" si="3">C12+C13</f>
        <v>2313987463.6599998</v>
      </c>
      <c r="D11" s="17">
        <f t="shared" si="3"/>
        <v>2592886975.6999998</v>
      </c>
      <c r="E11" s="17">
        <f t="shared" si="3"/>
        <v>2610035008.9899998</v>
      </c>
      <c r="F11" s="18">
        <f t="shared" si="3"/>
        <v>2565043071.4000001</v>
      </c>
      <c r="G11" s="17">
        <f t="shared" si="3"/>
        <v>2687215011.2400002</v>
      </c>
      <c r="H11" s="17">
        <f t="shared" si="3"/>
        <v>2476978974.0599999</v>
      </c>
      <c r="I11" s="40">
        <f t="shared" si="3"/>
        <v>3277442323.7099991</v>
      </c>
      <c r="J11" s="40">
        <f>J12+J13</f>
        <v>4807690139.7799997</v>
      </c>
      <c r="R11" s="2"/>
      <c r="S11" s="31">
        <f t="shared" si="1"/>
        <v>-4807690139.7799988</v>
      </c>
      <c r="T11" s="31">
        <f t="shared" si="2"/>
        <v>0</v>
      </c>
      <c r="U11" s="2"/>
    </row>
    <row r="12" spans="2:21" s="11" customFormat="1" x14ac:dyDescent="0.2">
      <c r="B12" s="19" t="s">
        <v>2</v>
      </c>
      <c r="C12" s="17">
        <v>1842233676.97</v>
      </c>
      <c r="D12" s="17">
        <v>2117705051.8299999</v>
      </c>
      <c r="E12" s="17">
        <v>2092659098.79</v>
      </c>
      <c r="F12" s="18">
        <v>2056032621.1800001</v>
      </c>
      <c r="G12" s="17">
        <v>2207789161.1700001</v>
      </c>
      <c r="H12" s="17">
        <v>1940517345.4100001</v>
      </c>
      <c r="I12" s="40">
        <v>2581010888.3000002</v>
      </c>
      <c r="J12" s="40">
        <v>3578065017.5799999</v>
      </c>
      <c r="R12" s="2"/>
      <c r="S12" s="31">
        <f t="shared" si="1"/>
        <v>-3578065017.5800018</v>
      </c>
      <c r="T12" s="31">
        <f t="shared" si="2"/>
        <v>0</v>
      </c>
      <c r="U12" s="2"/>
    </row>
    <row r="13" spans="2:21" s="11" customFormat="1" x14ac:dyDescent="0.2">
      <c r="B13" s="19" t="s">
        <v>28</v>
      </c>
      <c r="C13" s="17">
        <v>471753786.69</v>
      </c>
      <c r="D13" s="17">
        <v>475181923.87</v>
      </c>
      <c r="E13" s="17">
        <v>517375910.19999999</v>
      </c>
      <c r="F13" s="18">
        <v>509010450.22000003</v>
      </c>
      <c r="G13" s="17">
        <v>479425850.06999999</v>
      </c>
      <c r="H13" s="17">
        <v>536461628.64999998</v>
      </c>
      <c r="I13" s="40">
        <v>696431435.40999901</v>
      </c>
      <c r="J13" s="40">
        <v>1229625122.2</v>
      </c>
      <c r="R13" s="2"/>
      <c r="S13" s="31">
        <f t="shared" si="1"/>
        <v>-1229625122.1999998</v>
      </c>
      <c r="T13" s="31">
        <f t="shared" si="2"/>
        <v>0</v>
      </c>
      <c r="U13" s="2"/>
    </row>
    <row r="14" spans="2:21" s="11" customFormat="1" x14ac:dyDescent="0.2">
      <c r="B14" s="19" t="s">
        <v>29</v>
      </c>
      <c r="C14" s="17">
        <v>2093078104.0899999</v>
      </c>
      <c r="D14" s="17">
        <v>2190627210.98</v>
      </c>
      <c r="E14" s="17">
        <v>2283192259.6300001</v>
      </c>
      <c r="F14" s="18">
        <v>2257517447.1500001</v>
      </c>
      <c r="G14" s="17">
        <v>2248295762.5599999</v>
      </c>
      <c r="H14" s="17">
        <v>2268391784.0599999</v>
      </c>
      <c r="I14" s="40">
        <v>2744008840.1799998</v>
      </c>
      <c r="J14" s="40">
        <v>3845318744.6199999</v>
      </c>
      <c r="R14" s="2"/>
      <c r="S14" s="31">
        <f t="shared" si="1"/>
        <v>-3845318744.6199951</v>
      </c>
      <c r="T14" s="31">
        <f t="shared" si="2"/>
        <v>0</v>
      </c>
      <c r="U14" s="2"/>
    </row>
    <row r="15" spans="2:21" s="11" customFormat="1" x14ac:dyDescent="0.2">
      <c r="B15" s="19" t="s">
        <v>30</v>
      </c>
      <c r="C15" s="17">
        <v>1728800627.29</v>
      </c>
      <c r="D15" s="17">
        <v>1819588794.76</v>
      </c>
      <c r="E15" s="17">
        <v>1894788001.5799999</v>
      </c>
      <c r="F15" s="18">
        <v>1871189395.0599999</v>
      </c>
      <c r="G15" s="17">
        <v>1865473491.1199999</v>
      </c>
      <c r="H15" s="17">
        <v>1885606076.0999999</v>
      </c>
      <c r="I15" s="40">
        <v>2360555370.0100002</v>
      </c>
      <c r="J15" s="40">
        <v>3112334663.0900002</v>
      </c>
      <c r="R15" s="2"/>
      <c r="S15" s="31">
        <f t="shared" si="1"/>
        <v>-3112334663.0900002</v>
      </c>
      <c r="T15" s="31">
        <f t="shared" si="2"/>
        <v>0</v>
      </c>
      <c r="U15" s="2"/>
    </row>
    <row r="16" spans="2:21" s="11" customFormat="1" x14ac:dyDescent="0.2">
      <c r="B16" s="19" t="s">
        <v>3</v>
      </c>
      <c r="C16" s="17">
        <v>364277476.80000001</v>
      </c>
      <c r="D16" s="17">
        <v>371038416.22000003</v>
      </c>
      <c r="E16" s="17">
        <v>388404258.05000001</v>
      </c>
      <c r="F16" s="18">
        <v>386328052.08999997</v>
      </c>
      <c r="G16" s="17">
        <v>382822271.44</v>
      </c>
      <c r="H16" s="17">
        <v>382785707.95999998</v>
      </c>
      <c r="I16" s="40">
        <v>383453470.17000002</v>
      </c>
      <c r="J16" s="40">
        <v>732984081.52999997</v>
      </c>
      <c r="R16" s="2"/>
      <c r="S16" s="31">
        <f t="shared" si="1"/>
        <v>-732984081.52999973</v>
      </c>
      <c r="T16" s="31">
        <f t="shared" si="2"/>
        <v>0</v>
      </c>
      <c r="U16" s="2"/>
    </row>
    <row r="17" spans="2:21" s="11" customFormat="1" ht="30" x14ac:dyDescent="0.2">
      <c r="B17" s="19" t="s">
        <v>31</v>
      </c>
      <c r="C17" s="17">
        <v>0</v>
      </c>
      <c r="D17" s="17">
        <v>0</v>
      </c>
      <c r="E17" s="17">
        <v>0</v>
      </c>
      <c r="F17" s="18">
        <v>0</v>
      </c>
      <c r="G17" s="17">
        <v>0</v>
      </c>
      <c r="H17" s="17">
        <v>0</v>
      </c>
      <c r="I17" s="40">
        <v>0</v>
      </c>
      <c r="J17" s="40">
        <v>0</v>
      </c>
      <c r="R17" s="2"/>
      <c r="S17" s="31">
        <f t="shared" si="1"/>
        <v>0</v>
      </c>
      <c r="T17" s="31">
        <f t="shared" si="2"/>
        <v>0</v>
      </c>
      <c r="U17" s="2"/>
    </row>
    <row r="18" spans="2:21" s="11" customFormat="1" x14ac:dyDescent="0.2">
      <c r="B18" s="19" t="s">
        <v>4</v>
      </c>
      <c r="C18" s="17">
        <v>14715613.23</v>
      </c>
      <c r="D18" s="17">
        <v>-6227883.1099999901</v>
      </c>
      <c r="E18" s="17">
        <v>-28380158.050000001</v>
      </c>
      <c r="F18" s="18">
        <v>2385123.2599999998</v>
      </c>
      <c r="G18" s="17">
        <v>237113485.28</v>
      </c>
      <c r="H18" s="17">
        <v>-244526490.25999999</v>
      </c>
      <c r="I18" s="40">
        <v>198551755.03</v>
      </c>
      <c r="J18" s="40">
        <v>-199985302.05000001</v>
      </c>
      <c r="K18" s="55"/>
      <c r="R18" s="2"/>
      <c r="S18" s="31">
        <f t="shared" si="1"/>
        <v>199985302.05000001</v>
      </c>
      <c r="T18" s="31">
        <f t="shared" si="2"/>
        <v>0</v>
      </c>
      <c r="U18" s="2"/>
    </row>
    <row r="19" spans="2:21" s="11" customFormat="1" ht="30" customHeight="1" x14ac:dyDescent="0.2">
      <c r="B19" s="53" t="s">
        <v>5</v>
      </c>
      <c r="C19" s="20">
        <v>736206792.80999994</v>
      </c>
      <c r="D19" s="20">
        <v>899288823.35000002</v>
      </c>
      <c r="E19" s="20">
        <v>789652575.75</v>
      </c>
      <c r="F19" s="21">
        <v>778993678.86000001</v>
      </c>
      <c r="G19" s="20">
        <v>798559369.33000004</v>
      </c>
      <c r="H19" s="20">
        <v>809113264.05999994</v>
      </c>
      <c r="I19" s="41">
        <v>823728118.88</v>
      </c>
      <c r="J19" s="41">
        <v>1901471060.5</v>
      </c>
      <c r="R19" s="2"/>
      <c r="S19" s="31">
        <f t="shared" si="1"/>
        <v>-1901471060.4999962</v>
      </c>
      <c r="T19" s="31">
        <f t="shared" si="2"/>
        <v>0</v>
      </c>
      <c r="U19" s="2"/>
    </row>
    <row r="20" spans="2:21" s="11" customFormat="1" x14ac:dyDescent="0.2">
      <c r="B20" s="19" t="s">
        <v>6</v>
      </c>
      <c r="C20" s="22">
        <v>8635039.0199999996</v>
      </c>
      <c r="D20" s="22">
        <v>1822807.66</v>
      </c>
      <c r="E20" s="22">
        <v>1708149.44</v>
      </c>
      <c r="F20" s="23">
        <v>2161969.98</v>
      </c>
      <c r="G20" s="22">
        <v>1341883.7</v>
      </c>
      <c r="H20" s="22">
        <v>1885163.47</v>
      </c>
      <c r="I20" s="42">
        <v>2035855.77</v>
      </c>
      <c r="J20" s="42">
        <v>1121042.5</v>
      </c>
      <c r="R20" s="2"/>
      <c r="S20" s="31">
        <f t="shared" si="1"/>
        <v>-1121042.5</v>
      </c>
      <c r="T20" s="31">
        <f t="shared" si="2"/>
        <v>0</v>
      </c>
      <c r="U20" s="2"/>
    </row>
    <row r="21" spans="2:21" s="11" customFormat="1" x14ac:dyDescent="0.2">
      <c r="B21" s="19" t="s">
        <v>7</v>
      </c>
      <c r="C21" s="17">
        <v>17474533.399999999</v>
      </c>
      <c r="D21" s="17">
        <v>203655029.11000001</v>
      </c>
      <c r="E21" s="17">
        <v>45116396.2000001</v>
      </c>
      <c r="F21" s="18">
        <v>99261490.560000002</v>
      </c>
      <c r="G21" s="17">
        <v>95026638.439999998</v>
      </c>
      <c r="H21" s="17">
        <v>76784548.460000098</v>
      </c>
      <c r="I21" s="40">
        <v>135138565.62</v>
      </c>
      <c r="J21" s="40">
        <v>166733719.12</v>
      </c>
      <c r="R21" s="2"/>
      <c r="S21" s="31">
        <f t="shared" si="1"/>
        <v>-166733719.12000012</v>
      </c>
      <c r="T21" s="31">
        <f t="shared" si="2"/>
        <v>0</v>
      </c>
      <c r="U21" s="2"/>
    </row>
    <row r="22" spans="2:21" s="11" customFormat="1" x14ac:dyDescent="0.2">
      <c r="B22" s="19" t="s">
        <v>32</v>
      </c>
      <c r="C22" s="17">
        <v>5729795.8399999999</v>
      </c>
      <c r="D22" s="17">
        <v>1571555.6</v>
      </c>
      <c r="E22" s="17">
        <v>1488125.81</v>
      </c>
      <c r="F22" s="18">
        <v>3192699.92</v>
      </c>
      <c r="G22" s="17">
        <v>706592.37</v>
      </c>
      <c r="H22" s="17">
        <v>2077507.11</v>
      </c>
      <c r="I22" s="40">
        <v>2768252.56</v>
      </c>
      <c r="J22" s="40">
        <v>133357198.90000001</v>
      </c>
      <c r="R22" s="2"/>
      <c r="S22" s="31">
        <f t="shared" si="1"/>
        <v>-133357198.90000001</v>
      </c>
      <c r="T22" s="31">
        <f t="shared" si="2"/>
        <v>0</v>
      </c>
      <c r="U22" s="2"/>
    </row>
    <row r="23" spans="2:21" s="11" customFormat="1" x14ac:dyDescent="0.2">
      <c r="B23" s="19" t="s">
        <v>8</v>
      </c>
      <c r="C23" s="17">
        <v>704367424.54999995</v>
      </c>
      <c r="D23" s="17">
        <v>692239430.98000002</v>
      </c>
      <c r="E23" s="17">
        <v>741339904.29999995</v>
      </c>
      <c r="F23" s="18">
        <v>674377518.39999998</v>
      </c>
      <c r="G23" s="17">
        <v>701484254.82000005</v>
      </c>
      <c r="H23" s="17">
        <v>728366045.01999998</v>
      </c>
      <c r="I23" s="40">
        <v>683785444.92999995</v>
      </c>
      <c r="J23" s="40">
        <v>1600259099.98</v>
      </c>
      <c r="R23" s="2"/>
      <c r="S23" s="31">
        <f t="shared" si="1"/>
        <v>-1600259099.9799995</v>
      </c>
      <c r="T23" s="31">
        <f t="shared" si="2"/>
        <v>0</v>
      </c>
      <c r="U23" s="2"/>
    </row>
    <row r="24" spans="2:21" s="11" customFormat="1" ht="30" x14ac:dyDescent="0.2">
      <c r="B24" s="11" t="s">
        <v>33</v>
      </c>
      <c r="C24" s="24"/>
      <c r="D24" s="24"/>
      <c r="E24" s="24"/>
      <c r="F24" s="25"/>
      <c r="G24" s="24"/>
      <c r="H24" s="24"/>
      <c r="I24" s="43"/>
      <c r="J24" s="43"/>
      <c r="R24" s="2"/>
      <c r="S24" s="31">
        <f t="shared" si="1"/>
        <v>0</v>
      </c>
      <c r="T24" s="31">
        <f t="shared" si="2"/>
        <v>0</v>
      </c>
      <c r="U24" s="2"/>
    </row>
    <row r="25" spans="2:21" s="11" customFormat="1" ht="30" x14ac:dyDescent="0.2">
      <c r="B25" s="11" t="s">
        <v>56</v>
      </c>
      <c r="C25" s="24"/>
      <c r="D25" s="24"/>
      <c r="E25" s="24"/>
      <c r="F25" s="25"/>
      <c r="G25" s="24"/>
      <c r="H25" s="24"/>
      <c r="I25" s="43"/>
      <c r="J25" s="43"/>
      <c r="R25" s="2"/>
      <c r="S25" s="31">
        <f t="shared" si="1"/>
        <v>0</v>
      </c>
      <c r="T25" s="31">
        <f t="shared" si="2"/>
        <v>0</v>
      </c>
      <c r="U25" s="2"/>
    </row>
    <row r="26" spans="2:21" s="11" customFormat="1" x14ac:dyDescent="0.2">
      <c r="B26" s="11" t="s">
        <v>34</v>
      </c>
      <c r="C26" s="26"/>
      <c r="D26" s="26"/>
      <c r="E26" s="26"/>
      <c r="F26" s="27"/>
      <c r="G26" s="24"/>
      <c r="H26" s="26"/>
      <c r="I26" s="44"/>
      <c r="J26" s="44"/>
      <c r="R26" s="2"/>
      <c r="S26" s="31">
        <f t="shared" si="1"/>
        <v>0</v>
      </c>
      <c r="T26" s="31">
        <f t="shared" si="2"/>
        <v>0</v>
      </c>
      <c r="U26" s="2"/>
    </row>
    <row r="27" spans="2:21" s="11" customFormat="1" ht="25.5" customHeight="1" x14ac:dyDescent="0.2">
      <c r="B27" s="50" t="s">
        <v>9</v>
      </c>
      <c r="C27" s="28">
        <f t="shared" ref="C27:I27" si="4">C10-C19</f>
        <v>3685574388.1699996</v>
      </c>
      <c r="D27" s="28">
        <f t="shared" si="4"/>
        <v>3877997480.2200007</v>
      </c>
      <c r="E27" s="28">
        <f t="shared" si="4"/>
        <v>4075194534.8199997</v>
      </c>
      <c r="F27" s="29">
        <f t="shared" si="4"/>
        <v>4045951962.9500003</v>
      </c>
      <c r="G27" s="30">
        <f t="shared" si="4"/>
        <v>4374064889.75</v>
      </c>
      <c r="H27" s="30">
        <f t="shared" si="4"/>
        <v>3691731003.7999997</v>
      </c>
      <c r="I27" s="45">
        <f t="shared" si="4"/>
        <v>5396274800.039999</v>
      </c>
      <c r="J27" s="45">
        <f>J10-J19</f>
        <v>6551552521.8499994</v>
      </c>
      <c r="R27" s="2"/>
      <c r="S27" s="31">
        <f t="shared" si="1"/>
        <v>-6551552521.8499908</v>
      </c>
      <c r="T27" s="31">
        <f t="shared" si="2"/>
        <v>0</v>
      </c>
      <c r="U27" s="2"/>
    </row>
    <row r="28" spans="2:21" s="11" customFormat="1" ht="25.5" customHeight="1" x14ac:dyDescent="0.25">
      <c r="B28" s="47"/>
      <c r="C28" s="2"/>
      <c r="D28" s="38"/>
      <c r="E28" s="38"/>
      <c r="F28" s="38"/>
      <c r="G28" s="38"/>
      <c r="H28" s="2"/>
      <c r="I28" s="2"/>
      <c r="J28" s="5"/>
      <c r="K28" s="48"/>
      <c r="L28" s="48"/>
      <c r="M28" s="48"/>
      <c r="N28" s="48"/>
      <c r="O28" s="48"/>
      <c r="P28" s="48"/>
      <c r="Q28" s="49"/>
      <c r="R28" s="2"/>
      <c r="S28" s="31"/>
      <c r="T28" s="31"/>
      <c r="U28" s="2"/>
    </row>
    <row r="29" spans="2:21" s="11" customFormat="1" ht="55.5" customHeight="1" x14ac:dyDescent="0.2">
      <c r="B29" s="73" t="s">
        <v>16</v>
      </c>
      <c r="C29" s="74"/>
      <c r="D29" s="8" t="s">
        <v>49</v>
      </c>
      <c r="E29" s="8" t="s">
        <v>50</v>
      </c>
      <c r="F29" s="8" t="s">
        <v>51</v>
      </c>
      <c r="G29" s="8" t="s">
        <v>52</v>
      </c>
      <c r="H29" s="9" t="s">
        <v>25</v>
      </c>
      <c r="I29" s="9" t="s">
        <v>26</v>
      </c>
      <c r="J29" s="10" t="s">
        <v>27</v>
      </c>
      <c r="K29" s="48"/>
      <c r="L29" s="48"/>
      <c r="M29" s="48"/>
      <c r="N29" s="48"/>
      <c r="O29" s="48"/>
      <c r="P29" s="48"/>
      <c r="Q29" s="49"/>
      <c r="R29" s="2"/>
      <c r="S29" s="31"/>
      <c r="T29" s="31"/>
      <c r="U29" s="2"/>
    </row>
    <row r="30" spans="2:21" s="11" customFormat="1" ht="15.75" x14ac:dyDescent="0.2">
      <c r="B30" s="65" t="s">
        <v>0</v>
      </c>
      <c r="C30" s="66"/>
      <c r="D30" s="15">
        <f t="shared" ref="D30:J30" si="5">D31+D34+D37+D38</f>
        <v>5142335256.0799999</v>
      </c>
      <c r="E30" s="15">
        <f t="shared" si="5"/>
        <v>4691575185.7299995</v>
      </c>
      <c r="F30" s="15">
        <f t="shared" si="5"/>
        <v>4883599518.96</v>
      </c>
      <c r="G30" s="15">
        <f t="shared" si="5"/>
        <v>4984015573.8199997</v>
      </c>
      <c r="H30" s="15">
        <f t="shared" si="5"/>
        <v>62936880799.729996</v>
      </c>
      <c r="I30" s="15">
        <f t="shared" si="5"/>
        <v>3850840</v>
      </c>
      <c r="J30" s="39">
        <f t="shared" si="5"/>
        <v>62940731639.729996</v>
      </c>
      <c r="K30" s="48"/>
      <c r="L30" s="48"/>
      <c r="M30" s="48"/>
      <c r="N30" s="48"/>
      <c r="O30" s="48"/>
      <c r="P30" s="48"/>
      <c r="Q30" s="49"/>
      <c r="R30" s="2"/>
      <c r="S30" s="31"/>
      <c r="T30" s="31"/>
      <c r="U30" s="2"/>
    </row>
    <row r="31" spans="2:21" s="11" customFormat="1" ht="15.75" x14ac:dyDescent="0.2">
      <c r="B31" s="69" t="s">
        <v>1</v>
      </c>
      <c r="C31" s="72"/>
      <c r="D31" s="17">
        <v>3642206257.1700001</v>
      </c>
      <c r="E31" s="17">
        <f>E32+E33</f>
        <v>1788515623.5999999</v>
      </c>
      <c r="F31" s="17">
        <f>F32+F33</f>
        <v>2683969371.98</v>
      </c>
      <c r="G31" s="17">
        <f>G32+G33</f>
        <v>2734803206.9099998</v>
      </c>
      <c r="H31" s="17">
        <f>SUM(C11:J11)+D31+E31+F31+G31</f>
        <v>34180773428.199997</v>
      </c>
      <c r="I31" s="17">
        <v>3843414.85</v>
      </c>
      <c r="J31" s="40">
        <f t="shared" ref="J31:J46" si="6">H31+I31</f>
        <v>34184616843.049995</v>
      </c>
      <c r="K31" s="48"/>
      <c r="L31" s="48"/>
      <c r="M31" s="48"/>
      <c r="N31" s="48"/>
      <c r="O31" s="48"/>
      <c r="P31" s="48"/>
      <c r="Q31" s="49"/>
      <c r="R31" s="2"/>
      <c r="S31" s="31"/>
      <c r="T31" s="31"/>
      <c r="U31" s="2"/>
    </row>
    <row r="32" spans="2:21" s="11" customFormat="1" ht="15.75" x14ac:dyDescent="0.2">
      <c r="B32" s="69" t="s">
        <v>2</v>
      </c>
      <c r="C32" s="72"/>
      <c r="D32" s="17">
        <v>2741199221.4699998</v>
      </c>
      <c r="E32" s="17">
        <v>1286898239.53</v>
      </c>
      <c r="F32" s="17">
        <v>1975101647.3199999</v>
      </c>
      <c r="G32" s="17">
        <v>2020654399.1099999</v>
      </c>
      <c r="H32" s="17">
        <f t="shared" ref="H32:H46" si="7">SUM(C12:J12)+D32+E32+F32+G32</f>
        <v>26439866368.660004</v>
      </c>
      <c r="I32" s="17">
        <v>2916712.29</v>
      </c>
      <c r="J32" s="40">
        <f t="shared" si="6"/>
        <v>26442783080.950005</v>
      </c>
      <c r="K32" s="48"/>
      <c r="L32" s="48"/>
      <c r="M32" s="48"/>
      <c r="N32" s="48"/>
      <c r="O32" s="48"/>
      <c r="P32" s="48"/>
      <c r="Q32" s="49"/>
      <c r="R32" s="2"/>
      <c r="S32" s="31"/>
      <c r="T32" s="31"/>
      <c r="U32" s="2"/>
    </row>
    <row r="33" spans="2:21" s="11" customFormat="1" ht="15.75" x14ac:dyDescent="0.2">
      <c r="B33" s="69" t="s">
        <v>54</v>
      </c>
      <c r="C33" s="72"/>
      <c r="D33" s="17">
        <v>901007035.70000005</v>
      </c>
      <c r="E33" s="17">
        <v>501617384.06999999</v>
      </c>
      <c r="F33" s="17">
        <v>708867724.65999997</v>
      </c>
      <c r="G33" s="17">
        <v>714148807.79999995</v>
      </c>
      <c r="H33" s="17">
        <f>SUM(C13:J13)+D33+E33+F33+G33</f>
        <v>7740907059.539999</v>
      </c>
      <c r="I33" s="17">
        <v>926702.56</v>
      </c>
      <c r="J33" s="40">
        <f t="shared" si="6"/>
        <v>7741833762.0999994</v>
      </c>
      <c r="K33" s="48"/>
      <c r="L33" s="48"/>
      <c r="M33" s="48"/>
      <c r="N33" s="48"/>
      <c r="O33" s="48"/>
      <c r="P33" s="48"/>
      <c r="Q33" s="49"/>
      <c r="R33" s="2"/>
      <c r="S33" s="31"/>
      <c r="T33" s="31"/>
      <c r="U33" s="2"/>
    </row>
    <row r="34" spans="2:21" s="11" customFormat="1" ht="15.75" x14ac:dyDescent="0.2">
      <c r="B34" s="69" t="s">
        <v>29</v>
      </c>
      <c r="C34" s="72"/>
      <c r="D34" s="17">
        <f>SUM(D35:D36)</f>
        <v>1500128998.9100001</v>
      </c>
      <c r="E34" s="17">
        <f>SUM(E35:E36)</f>
        <v>2903059562.1300001</v>
      </c>
      <c r="F34" s="17">
        <f>SUM(F35:F36)</f>
        <v>2199607117.0099998</v>
      </c>
      <c r="G34" s="17">
        <f>SUM(G35:G36)</f>
        <v>2214173004.7399998</v>
      </c>
      <c r="H34" s="17">
        <f>SUM(C14:J14)+D34+E34+F34+G34</f>
        <v>28747398836.059998</v>
      </c>
      <c r="I34" s="17">
        <v>7425.15</v>
      </c>
      <c r="J34" s="40">
        <f t="shared" si="6"/>
        <v>28747406261.209999</v>
      </c>
      <c r="K34" s="48"/>
      <c r="L34" s="48"/>
      <c r="M34" s="48"/>
      <c r="N34" s="48"/>
      <c r="O34" s="48"/>
      <c r="P34" s="48"/>
      <c r="Q34" s="49"/>
      <c r="R34" s="2"/>
      <c r="S34" s="31"/>
      <c r="T34" s="31"/>
      <c r="U34" s="2"/>
    </row>
    <row r="35" spans="2:21" s="11" customFormat="1" ht="15.75" x14ac:dyDescent="0.2">
      <c r="B35" s="69" t="s">
        <v>30</v>
      </c>
      <c r="C35" s="72"/>
      <c r="D35" s="17">
        <v>1126028840.8900001</v>
      </c>
      <c r="E35" s="17">
        <v>2503160519.54</v>
      </c>
      <c r="F35" s="17">
        <v>1815648950.8</v>
      </c>
      <c r="G35" s="17">
        <v>1826788057.02</v>
      </c>
      <c r="H35" s="17">
        <f t="shared" si="7"/>
        <v>23809962787.260002</v>
      </c>
      <c r="I35" s="17">
        <v>0</v>
      </c>
      <c r="J35" s="40">
        <f t="shared" si="6"/>
        <v>23809962787.260002</v>
      </c>
      <c r="K35" s="48"/>
      <c r="L35" s="48"/>
      <c r="M35" s="48"/>
      <c r="N35" s="48"/>
      <c r="O35" s="48"/>
      <c r="P35" s="48"/>
      <c r="Q35" s="49"/>
      <c r="R35" s="2"/>
      <c r="S35" s="31"/>
      <c r="T35" s="31"/>
      <c r="U35" s="2"/>
    </row>
    <row r="36" spans="2:21" s="11" customFormat="1" ht="15.75" x14ac:dyDescent="0.2">
      <c r="B36" s="69" t="s">
        <v>3</v>
      </c>
      <c r="C36" s="72"/>
      <c r="D36" s="17">
        <v>374100158.01999998</v>
      </c>
      <c r="E36" s="17">
        <v>399899042.58999997</v>
      </c>
      <c r="F36" s="17">
        <v>383958166.20999998</v>
      </c>
      <c r="G36" s="17">
        <v>387384947.72000003</v>
      </c>
      <c r="H36" s="17">
        <f t="shared" si="7"/>
        <v>4937436048.8000002</v>
      </c>
      <c r="I36" s="17">
        <v>7425.15</v>
      </c>
      <c r="J36" s="40">
        <f t="shared" si="6"/>
        <v>4937443473.9499998</v>
      </c>
      <c r="K36" s="48"/>
      <c r="L36" s="48"/>
      <c r="M36" s="48"/>
      <c r="N36" s="48"/>
      <c r="O36" s="48"/>
      <c r="P36" s="48"/>
      <c r="Q36" s="49"/>
      <c r="R36" s="2"/>
      <c r="S36" s="31"/>
      <c r="T36" s="31"/>
      <c r="U36" s="2"/>
    </row>
    <row r="37" spans="2:21" s="11" customFormat="1" ht="30.75" customHeight="1" x14ac:dyDescent="0.2">
      <c r="B37" s="69" t="s">
        <v>31</v>
      </c>
      <c r="C37" s="72"/>
      <c r="D37" s="17">
        <v>0</v>
      </c>
      <c r="E37" s="17">
        <v>0</v>
      </c>
      <c r="F37" s="17"/>
      <c r="G37" s="17">
        <v>0</v>
      </c>
      <c r="H37" s="17">
        <f t="shared" si="7"/>
        <v>0</v>
      </c>
      <c r="I37" s="17">
        <v>0</v>
      </c>
      <c r="J37" s="40">
        <f t="shared" si="6"/>
        <v>0</v>
      </c>
      <c r="K37" s="48"/>
      <c r="L37" s="48"/>
      <c r="M37" s="48"/>
      <c r="N37" s="48"/>
      <c r="O37" s="48"/>
      <c r="P37" s="48"/>
      <c r="Q37" s="49"/>
      <c r="R37" s="2"/>
      <c r="S37" s="31"/>
      <c r="T37" s="31"/>
      <c r="U37" s="2"/>
    </row>
    <row r="38" spans="2:21" s="11" customFormat="1" ht="18.75" customHeight="1" x14ac:dyDescent="0.2">
      <c r="B38" s="69" t="s">
        <v>4</v>
      </c>
      <c r="C38" s="72"/>
      <c r="D38" s="17">
        <v>0</v>
      </c>
      <c r="E38" s="17">
        <v>0</v>
      </c>
      <c r="F38" s="17">
        <v>23029.97</v>
      </c>
      <c r="G38" s="17">
        <v>35039362.170000002</v>
      </c>
      <c r="H38" s="17">
        <f t="shared" si="7"/>
        <v>8708535.4700000137</v>
      </c>
      <c r="I38" s="17">
        <v>0</v>
      </c>
      <c r="J38" s="40">
        <f t="shared" si="6"/>
        <v>8708535.4700000137</v>
      </c>
      <c r="K38" s="48"/>
      <c r="L38" s="48"/>
      <c r="M38" s="48"/>
      <c r="N38" s="48"/>
      <c r="O38" s="48"/>
      <c r="P38" s="48"/>
      <c r="Q38" s="49"/>
      <c r="R38" s="2"/>
      <c r="S38" s="31"/>
      <c r="T38" s="31"/>
      <c r="U38" s="2"/>
    </row>
    <row r="39" spans="2:21" s="11" customFormat="1" ht="28.5" customHeight="1" x14ac:dyDescent="0.2">
      <c r="B39" s="65" t="s">
        <v>5</v>
      </c>
      <c r="C39" s="66"/>
      <c r="D39" s="20">
        <f>SUM(D40:D46)</f>
        <v>679520374.50599992</v>
      </c>
      <c r="E39" s="20">
        <f>SUM(E40:E46)</f>
        <v>1002600580.074</v>
      </c>
      <c r="F39" s="20">
        <f>SUM(F40:F46)</f>
        <v>807372078.06400001</v>
      </c>
      <c r="G39" s="20">
        <f>SUM(G40:G46)</f>
        <v>856657898.13799989</v>
      </c>
      <c r="H39" s="20">
        <f t="shared" ref="H39:J39" si="8">SUM(H40:H46)</f>
        <v>10883164614.321997</v>
      </c>
      <c r="I39" s="20">
        <f t="shared" si="8"/>
        <v>1239236.1399999999</v>
      </c>
      <c r="J39" s="41">
        <f t="shared" si="8"/>
        <v>10884403850.461998</v>
      </c>
      <c r="K39" s="48"/>
      <c r="L39" s="48"/>
      <c r="M39" s="48"/>
      <c r="N39" s="48"/>
      <c r="O39" s="48"/>
      <c r="P39" s="48"/>
      <c r="Q39" s="49"/>
      <c r="R39" s="2"/>
      <c r="S39" s="31"/>
      <c r="T39" s="31"/>
      <c r="U39" s="2"/>
    </row>
    <row r="40" spans="2:21" s="11" customFormat="1" ht="15.75" x14ac:dyDescent="0.2">
      <c r="B40" s="67" t="s">
        <v>6</v>
      </c>
      <c r="C40" s="68"/>
      <c r="D40" s="22">
        <v>1984726.19</v>
      </c>
      <c r="E40" s="22">
        <v>2244912.1800000002</v>
      </c>
      <c r="F40" s="22">
        <v>2122054.02</v>
      </c>
      <c r="G40" s="22">
        <v>1553277.45</v>
      </c>
      <c r="H40" s="17">
        <f t="shared" si="7"/>
        <v>28616881.379999999</v>
      </c>
      <c r="I40" s="22">
        <v>1120989.2</v>
      </c>
      <c r="J40" s="42">
        <f t="shared" si="6"/>
        <v>29737870.579999998</v>
      </c>
      <c r="K40" s="48"/>
      <c r="L40" s="48"/>
      <c r="M40" s="48"/>
      <c r="N40" s="48"/>
      <c r="O40" s="48"/>
      <c r="P40" s="48"/>
      <c r="Q40" s="49"/>
      <c r="R40" s="2"/>
      <c r="S40" s="31"/>
      <c r="T40" s="31"/>
      <c r="U40" s="2"/>
    </row>
    <row r="41" spans="2:21" s="11" customFormat="1" ht="15.75" x14ac:dyDescent="0.2">
      <c r="B41" s="69" t="s">
        <v>7</v>
      </c>
      <c r="C41" s="70"/>
      <c r="D41" s="17">
        <v>5135554.28</v>
      </c>
      <c r="E41" s="17">
        <v>48028278.670000002</v>
      </c>
      <c r="F41" s="17">
        <v>53015036.189999998</v>
      </c>
      <c r="G41" s="17">
        <v>31679698.489999998</v>
      </c>
      <c r="H41" s="17">
        <f t="shared" si="7"/>
        <v>977049488.5400002</v>
      </c>
      <c r="I41" s="17">
        <v>110821.79</v>
      </c>
      <c r="J41" s="40">
        <f t="shared" si="6"/>
        <v>977160310.33000016</v>
      </c>
      <c r="K41" s="48"/>
      <c r="L41" s="48"/>
      <c r="M41" s="48"/>
      <c r="N41" s="48"/>
      <c r="O41" s="48"/>
      <c r="P41" s="48"/>
      <c r="Q41" s="49"/>
      <c r="R41" s="2"/>
      <c r="S41" s="31"/>
      <c r="T41" s="31"/>
      <c r="U41" s="2"/>
    </row>
    <row r="42" spans="2:21" s="11" customFormat="1" ht="15.75" x14ac:dyDescent="0.2">
      <c r="B42" s="69" t="s">
        <v>32</v>
      </c>
      <c r="C42" s="70"/>
      <c r="D42" s="17">
        <v>18893959.719999999</v>
      </c>
      <c r="E42" s="17">
        <v>9409431.2599999998</v>
      </c>
      <c r="F42" s="17">
        <v>4193813.56</v>
      </c>
      <c r="G42" s="17">
        <v>3493284.48</v>
      </c>
      <c r="H42" s="17">
        <f t="shared" si="7"/>
        <v>186882217.13</v>
      </c>
      <c r="I42" s="17">
        <v>0</v>
      </c>
      <c r="J42" s="40">
        <f t="shared" si="6"/>
        <v>186882217.13</v>
      </c>
      <c r="K42" s="48"/>
      <c r="L42" s="48"/>
      <c r="M42" s="48"/>
      <c r="N42" s="48"/>
      <c r="O42" s="48"/>
      <c r="P42" s="48"/>
      <c r="Q42" s="49"/>
      <c r="R42" s="2"/>
      <c r="S42" s="31"/>
      <c r="T42" s="31"/>
      <c r="U42" s="2"/>
    </row>
    <row r="43" spans="2:21" s="11" customFormat="1" ht="15.75" x14ac:dyDescent="0.2">
      <c r="B43" s="69" t="s">
        <v>8</v>
      </c>
      <c r="C43" s="70"/>
      <c r="D43" s="17">
        <v>651358951.58000004</v>
      </c>
      <c r="E43" s="17">
        <v>940535228.89999998</v>
      </c>
      <c r="F43" s="17">
        <v>745467089.14999998</v>
      </c>
      <c r="G43" s="17">
        <v>817641788.14999998</v>
      </c>
      <c r="H43" s="17">
        <f t="shared" si="7"/>
        <v>9681222180.7599983</v>
      </c>
      <c r="I43" s="17">
        <v>7425.15</v>
      </c>
      <c r="J43" s="40">
        <f t="shared" si="6"/>
        <v>9681229605.9099979</v>
      </c>
      <c r="K43" s="48"/>
      <c r="L43" s="48"/>
      <c r="M43" s="48"/>
      <c r="N43" s="48"/>
      <c r="O43" s="48"/>
      <c r="P43" s="48"/>
      <c r="Q43" s="49"/>
      <c r="R43" s="2"/>
      <c r="S43" s="31"/>
      <c r="T43" s="31"/>
      <c r="U43" s="2"/>
    </row>
    <row r="44" spans="2:21" s="11" customFormat="1" ht="15.75" x14ac:dyDescent="0.2">
      <c r="B44" s="71" t="s">
        <v>33</v>
      </c>
      <c r="C44" s="70"/>
      <c r="D44" s="24">
        <v>0</v>
      </c>
      <c r="E44" s="24">
        <v>0</v>
      </c>
      <c r="F44" s="24">
        <v>0</v>
      </c>
      <c r="G44" s="24">
        <v>0</v>
      </c>
      <c r="H44" s="17">
        <f t="shared" si="7"/>
        <v>0</v>
      </c>
      <c r="I44" s="24">
        <v>0</v>
      </c>
      <c r="J44" s="43">
        <f t="shared" si="6"/>
        <v>0</v>
      </c>
      <c r="K44" s="48"/>
      <c r="L44" s="48"/>
      <c r="M44" s="48"/>
      <c r="N44" s="48"/>
      <c r="O44" s="48"/>
      <c r="P44" s="48"/>
      <c r="Q44" s="49"/>
      <c r="R44" s="2"/>
      <c r="S44" s="31"/>
      <c r="T44" s="31"/>
      <c r="U44" s="2"/>
    </row>
    <row r="45" spans="2:21" s="11" customFormat="1" ht="36" customHeight="1" x14ac:dyDescent="0.2">
      <c r="B45" s="71" t="s">
        <v>56</v>
      </c>
      <c r="C45" s="70"/>
      <c r="D45" s="24">
        <f>2683978.42*0.8</f>
        <v>2147182.736</v>
      </c>
      <c r="E45" s="24">
        <f>2978411.33*0.8</f>
        <v>2382729.0640000002</v>
      </c>
      <c r="F45" s="24">
        <f>3217606.43*0.8</f>
        <v>2574085.1440000003</v>
      </c>
      <c r="G45" s="24">
        <f>2862311.96*0.8</f>
        <v>2289849.568</v>
      </c>
      <c r="H45" s="17">
        <f t="shared" si="7"/>
        <v>9393846.512000002</v>
      </c>
      <c r="I45" s="24">
        <v>0</v>
      </c>
      <c r="J45" s="43">
        <f t="shared" si="6"/>
        <v>9393846.512000002</v>
      </c>
      <c r="K45" s="48"/>
      <c r="L45" s="48"/>
      <c r="M45" s="48"/>
      <c r="N45" s="48"/>
      <c r="O45" s="48"/>
      <c r="P45" s="48"/>
      <c r="Q45" s="49"/>
      <c r="R45" s="2"/>
      <c r="S45" s="31"/>
      <c r="T45" s="31"/>
      <c r="U45" s="2"/>
    </row>
    <row r="46" spans="2:21" s="11" customFormat="1" ht="15.75" x14ac:dyDescent="0.2">
      <c r="B46" s="71" t="s">
        <v>34</v>
      </c>
      <c r="C46" s="70"/>
      <c r="D46" s="26">
        <v>0</v>
      </c>
      <c r="E46" s="26">
        <v>0</v>
      </c>
      <c r="F46" s="26"/>
      <c r="G46" s="26">
        <v>0</v>
      </c>
      <c r="H46" s="17">
        <f t="shared" si="7"/>
        <v>0</v>
      </c>
      <c r="I46" s="26">
        <v>0</v>
      </c>
      <c r="J46" s="44">
        <f t="shared" si="6"/>
        <v>0</v>
      </c>
      <c r="K46" s="48"/>
      <c r="L46" s="48"/>
      <c r="M46" s="48"/>
      <c r="N46" s="48"/>
      <c r="O46" s="48"/>
      <c r="P46" s="48"/>
      <c r="Q46" s="49"/>
      <c r="R46" s="2"/>
      <c r="S46" s="31"/>
      <c r="T46" s="31"/>
      <c r="U46" s="2"/>
    </row>
    <row r="47" spans="2:21" s="11" customFormat="1" ht="25.5" customHeight="1" x14ac:dyDescent="0.2">
      <c r="B47" s="65" t="s">
        <v>9</v>
      </c>
      <c r="C47" s="66"/>
      <c r="D47" s="30">
        <f>D30-D39</f>
        <v>4462814881.5740004</v>
      </c>
      <c r="E47" s="30">
        <f t="shared" ref="E47:J47" si="9">E30-E39</f>
        <v>3688974605.6559997</v>
      </c>
      <c r="F47" s="30">
        <f t="shared" si="9"/>
        <v>4076227440.8959999</v>
      </c>
      <c r="G47" s="30">
        <f t="shared" si="9"/>
        <v>4127357675.6819997</v>
      </c>
      <c r="H47" s="30">
        <f t="shared" si="9"/>
        <v>52053716185.407997</v>
      </c>
      <c r="I47" s="30">
        <f t="shared" si="9"/>
        <v>2611603.8600000003</v>
      </c>
      <c r="J47" s="46">
        <f t="shared" si="9"/>
        <v>52056327789.267998</v>
      </c>
      <c r="K47" s="48"/>
      <c r="L47" s="48"/>
      <c r="M47" s="48"/>
      <c r="N47" s="48"/>
      <c r="O47" s="48"/>
      <c r="P47" s="48"/>
      <c r="Q47" s="49"/>
      <c r="R47" s="2"/>
      <c r="S47" s="31"/>
      <c r="T47" s="31"/>
      <c r="U47" s="2"/>
    </row>
    <row r="48" spans="2:21" x14ac:dyDescent="0.2">
      <c r="K48" s="48"/>
      <c r="L48" s="48"/>
      <c r="M48" s="48"/>
      <c r="N48" s="48"/>
    </row>
    <row r="49" spans="2:14" ht="15" customHeight="1" x14ac:dyDescent="0.2">
      <c r="B49" s="77" t="s">
        <v>35</v>
      </c>
      <c r="C49" s="77"/>
      <c r="D49" s="77"/>
      <c r="E49" s="77"/>
      <c r="F49" s="77"/>
      <c r="G49" s="62"/>
      <c r="H49" s="61" t="s">
        <v>36</v>
      </c>
      <c r="I49" s="62"/>
      <c r="J49" s="32" t="s">
        <v>37</v>
      </c>
      <c r="K49" s="48"/>
      <c r="L49" s="48"/>
      <c r="M49" s="48"/>
      <c r="N49" s="48"/>
    </row>
    <row r="50" spans="2:14" x14ac:dyDescent="0.2">
      <c r="B50" s="78"/>
      <c r="C50" s="78"/>
      <c r="D50" s="78"/>
      <c r="E50" s="78"/>
      <c r="F50" s="78"/>
      <c r="G50" s="64"/>
      <c r="H50" s="63"/>
      <c r="I50" s="64"/>
      <c r="J50" s="33" t="s">
        <v>38</v>
      </c>
      <c r="K50" s="48"/>
      <c r="L50" s="48"/>
      <c r="M50" s="48"/>
      <c r="N50" s="48"/>
    </row>
    <row r="51" spans="2:14" x14ac:dyDescent="0.2">
      <c r="B51" s="79" t="s">
        <v>39</v>
      </c>
      <c r="C51" s="79"/>
      <c r="D51" s="79"/>
      <c r="E51" s="79"/>
      <c r="F51" s="79"/>
      <c r="G51" s="80"/>
      <c r="H51" s="57">
        <v>106688331960.66</v>
      </c>
      <c r="I51" s="58"/>
      <c r="J51" s="36"/>
      <c r="K51" s="48"/>
      <c r="L51" s="48"/>
      <c r="M51" s="48"/>
      <c r="N51" s="48"/>
    </row>
    <row r="52" spans="2:14" ht="15" customHeight="1" x14ac:dyDescent="0.2">
      <c r="B52" s="79" t="s">
        <v>40</v>
      </c>
      <c r="C52" s="79"/>
      <c r="D52" s="79"/>
      <c r="E52" s="79"/>
      <c r="F52" s="79"/>
      <c r="G52" s="80"/>
      <c r="H52" s="57">
        <v>19069999.73</v>
      </c>
      <c r="I52" s="58"/>
      <c r="J52" s="34"/>
      <c r="K52" s="48"/>
      <c r="L52" s="48"/>
      <c r="M52" s="48"/>
      <c r="N52" s="48"/>
    </row>
    <row r="53" spans="2:14" ht="15" customHeight="1" x14ac:dyDescent="0.2">
      <c r="B53" s="79" t="s">
        <v>41</v>
      </c>
      <c r="C53" s="79"/>
      <c r="D53" s="79"/>
      <c r="E53" s="79"/>
      <c r="F53" s="79"/>
      <c r="G53" s="80"/>
      <c r="H53" s="57">
        <v>11634838.5</v>
      </c>
      <c r="I53" s="58"/>
      <c r="J53" s="34"/>
      <c r="K53" s="48"/>
      <c r="L53" s="48"/>
      <c r="M53" s="48"/>
      <c r="N53" s="48"/>
    </row>
    <row r="54" spans="2:14" ht="15" customHeight="1" x14ac:dyDescent="0.2">
      <c r="B54" s="79" t="s">
        <v>42</v>
      </c>
      <c r="C54" s="79"/>
      <c r="D54" s="79"/>
      <c r="E54" s="79"/>
      <c r="F54" s="79"/>
      <c r="G54" s="80"/>
      <c r="H54" s="34"/>
      <c r="I54" s="35">
        <v>0</v>
      </c>
      <c r="J54" s="34"/>
      <c r="K54" s="48"/>
      <c r="L54" s="48"/>
      <c r="M54" s="48"/>
      <c r="N54" s="48"/>
    </row>
    <row r="55" spans="2:14" x14ac:dyDescent="0.2">
      <c r="B55" s="79" t="s">
        <v>43</v>
      </c>
      <c r="C55" s="79"/>
      <c r="D55" s="79"/>
      <c r="E55" s="79"/>
      <c r="F55" s="79"/>
      <c r="G55" s="80"/>
      <c r="H55" s="34"/>
      <c r="I55" s="35">
        <v>0</v>
      </c>
      <c r="J55" s="34"/>
      <c r="K55" s="48"/>
      <c r="L55" s="48"/>
      <c r="M55" s="48"/>
      <c r="N55" s="48"/>
    </row>
    <row r="56" spans="2:14" ht="15" customHeight="1" x14ac:dyDescent="0.2">
      <c r="B56" s="83" t="s">
        <v>44</v>
      </c>
      <c r="C56" s="83"/>
      <c r="D56" s="83"/>
      <c r="E56" s="83"/>
      <c r="F56" s="83"/>
      <c r="G56" s="84"/>
      <c r="H56" s="59">
        <f>H51-H52-H53</f>
        <v>106657627122.43001</v>
      </c>
      <c r="I56" s="60"/>
      <c r="J56" s="36"/>
      <c r="K56" s="48"/>
      <c r="L56" s="48"/>
      <c r="M56" s="48"/>
      <c r="N56" s="48"/>
    </row>
    <row r="57" spans="2:14" ht="15.75" customHeight="1" x14ac:dyDescent="0.2">
      <c r="B57" s="83" t="s">
        <v>45</v>
      </c>
      <c r="C57" s="83"/>
      <c r="D57" s="83"/>
      <c r="E57" s="83"/>
      <c r="F57" s="83"/>
      <c r="G57" s="84"/>
      <c r="H57" s="59">
        <f>J47</f>
        <v>52056327789.267998</v>
      </c>
      <c r="I57" s="60"/>
      <c r="J57" s="37">
        <f>H57/H56*100</f>
        <v>48.806943482357482</v>
      </c>
      <c r="K57" s="48"/>
      <c r="L57" s="48"/>
      <c r="M57" s="48"/>
      <c r="N57" s="48"/>
    </row>
    <row r="58" spans="2:14" ht="15" customHeight="1" x14ac:dyDescent="0.2">
      <c r="B58" s="79" t="s">
        <v>46</v>
      </c>
      <c r="C58" s="79"/>
      <c r="D58" s="79"/>
      <c r="E58" s="79"/>
      <c r="F58" s="79"/>
      <c r="G58" s="80"/>
      <c r="H58" s="57">
        <f>H56*0.49</f>
        <v>52262237289.9907</v>
      </c>
      <c r="I58" s="58"/>
      <c r="J58" s="34">
        <v>49</v>
      </c>
      <c r="K58" s="48"/>
      <c r="L58" s="48"/>
      <c r="M58" s="48"/>
      <c r="N58" s="48"/>
    </row>
    <row r="59" spans="2:14" ht="15" customHeight="1" x14ac:dyDescent="0.2">
      <c r="B59" s="79" t="s">
        <v>47</v>
      </c>
      <c r="C59" s="79"/>
      <c r="D59" s="79"/>
      <c r="E59" s="79"/>
      <c r="F59" s="79"/>
      <c r="G59" s="80"/>
      <c r="H59" s="57">
        <f>H56*0.4655</f>
        <v>49649125425.491173</v>
      </c>
      <c r="I59" s="58"/>
      <c r="J59" s="34">
        <v>46.55</v>
      </c>
      <c r="K59" s="48"/>
      <c r="L59" s="48"/>
      <c r="M59" s="48"/>
      <c r="N59" s="48"/>
    </row>
    <row r="60" spans="2:14" ht="15" customHeight="1" x14ac:dyDescent="0.2">
      <c r="B60" s="79" t="s">
        <v>48</v>
      </c>
      <c r="C60" s="79"/>
      <c r="D60" s="79"/>
      <c r="E60" s="79"/>
      <c r="F60" s="79"/>
      <c r="G60" s="80"/>
      <c r="H60" s="57">
        <f>H56*0.441</f>
        <v>47036013560.991631</v>
      </c>
      <c r="I60" s="58"/>
      <c r="J60" s="34">
        <v>44.1</v>
      </c>
      <c r="K60" s="48"/>
      <c r="L60" s="48"/>
      <c r="M60" s="48"/>
      <c r="N60" s="48"/>
    </row>
    <row r="61" spans="2:14" x14ac:dyDescent="0.2">
      <c r="B61" s="82" t="s">
        <v>55</v>
      </c>
      <c r="C61" s="82"/>
      <c r="D61" s="82"/>
      <c r="E61" s="82"/>
      <c r="F61" s="82"/>
      <c r="G61" s="82"/>
      <c r="H61" s="1"/>
      <c r="K61" s="48"/>
      <c r="L61" s="48"/>
      <c r="M61" s="48"/>
      <c r="N61" s="48"/>
    </row>
    <row r="62" spans="2:14" ht="33.75" customHeight="1" x14ac:dyDescent="0.2">
      <c r="B62" s="81" t="s">
        <v>57</v>
      </c>
      <c r="C62" s="81"/>
      <c r="D62" s="81"/>
      <c r="E62" s="81"/>
      <c r="F62" s="81"/>
      <c r="G62" s="81"/>
      <c r="H62" s="81"/>
      <c r="I62" s="81"/>
      <c r="J62" s="81"/>
      <c r="K62" s="48"/>
      <c r="L62" s="48"/>
      <c r="M62" s="48"/>
      <c r="N62" s="48"/>
    </row>
    <row r="63" spans="2:14" x14ac:dyDescent="0.2">
      <c r="I63" s="3"/>
      <c r="K63" s="48"/>
      <c r="L63" s="48"/>
      <c r="M63" s="48"/>
      <c r="N63" s="48"/>
    </row>
    <row r="64" spans="2:14" x14ac:dyDescent="0.2">
      <c r="I64" s="3"/>
    </row>
    <row r="65" spans="9:9" x14ac:dyDescent="0.2">
      <c r="I65" s="3"/>
    </row>
  </sheetData>
  <sheetProtection algorithmName="SHA-512" hashValue="m2uSSUkFnHJLY6Rz3djabJaEWl7dy9BJHQ8V406ZClvb3iik6cQKbSrp6I0xEepkp84jPnz49p0Q9wK0XInqPQ==" saltValue="TVRi1lLaZ/MRT3w/Zzm/KA==" spinCount="100000" sheet="1" objects="1" scenarios="1"/>
  <mergeCells count="47">
    <mergeCell ref="B62:J62"/>
    <mergeCell ref="B53:G53"/>
    <mergeCell ref="B54:G54"/>
    <mergeCell ref="B55:G55"/>
    <mergeCell ref="B61:G61"/>
    <mergeCell ref="B56:G56"/>
    <mergeCell ref="B57:G57"/>
    <mergeCell ref="B58:G58"/>
    <mergeCell ref="B59:G59"/>
    <mergeCell ref="B60:G60"/>
    <mergeCell ref="H60:I60"/>
    <mergeCell ref="B46:C46"/>
    <mergeCell ref="B47:C47"/>
    <mergeCell ref="B49:G50"/>
    <mergeCell ref="B51:G51"/>
    <mergeCell ref="B52:G52"/>
    <mergeCell ref="B2:J2"/>
    <mergeCell ref="B3:J3"/>
    <mergeCell ref="B4:J4"/>
    <mergeCell ref="B5:J5"/>
    <mergeCell ref="B6:J6"/>
    <mergeCell ref="B29:C29"/>
    <mergeCell ref="B31:C31"/>
    <mergeCell ref="B32:C32"/>
    <mergeCell ref="B33:C33"/>
    <mergeCell ref="B30:C30"/>
    <mergeCell ref="B34:C34"/>
    <mergeCell ref="B35:C35"/>
    <mergeCell ref="B36:C36"/>
    <mergeCell ref="B37:C37"/>
    <mergeCell ref="B38:C38"/>
    <mergeCell ref="B8:C8"/>
    <mergeCell ref="H58:I58"/>
    <mergeCell ref="H59:I59"/>
    <mergeCell ref="H56:I56"/>
    <mergeCell ref="H57:I57"/>
    <mergeCell ref="H52:I52"/>
    <mergeCell ref="H53:I53"/>
    <mergeCell ref="H49:I50"/>
    <mergeCell ref="H51:I51"/>
    <mergeCell ref="B39:C39"/>
    <mergeCell ref="B40:C40"/>
    <mergeCell ref="B41:C41"/>
    <mergeCell ref="B42:C42"/>
    <mergeCell ref="B43:C43"/>
    <mergeCell ref="B44:C44"/>
    <mergeCell ref="B45:C4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Publicação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Tulio Amorim Correa Garcias</cp:lastModifiedBy>
  <cp:lastPrinted>2025-05-29T20:37:02Z</cp:lastPrinted>
  <dcterms:created xsi:type="dcterms:W3CDTF">2025-04-30T13:29:35Z</dcterms:created>
  <dcterms:modified xsi:type="dcterms:W3CDTF">2025-06-12T16:41:23Z</dcterms:modified>
</cp:coreProperties>
</file>